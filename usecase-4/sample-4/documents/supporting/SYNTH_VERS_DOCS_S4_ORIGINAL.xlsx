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quirements Matrix" sheetId="2" state="visible" r:id="rId4"/>
    <sheet name="Pricing Form" sheetId="3" state="visible" r:id="rId5"/>
    <sheet name="Reference Form" sheetId="4" state="visible" r:id="rId6"/>
    <sheet name="Project Timeli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<sst xmlns="http://schemas.openxmlformats.org/spreadsheetml/2006/main" count="152" uniqueCount="124">
  <si>
    <t xml:space="preserve">MERIDIAN PUBLIC SCHOOL DISTRICT</t>
  </si>
  <si>
    <t xml:space="preserve">Department of Technology &amp; Procurement</t>
  </si>
  <si>
    <t xml:space="preserve">ORIGINAL ISSUE</t>
  </si>
  <si>
    <t xml:space="preserve">REQUEST FOR PROPOSAL</t>
  </si>
  <si>
    <t xml:space="preserve">District-Wide Network &amp; Wi-Fi Infrastructure Refresh Program</t>
  </si>
  <si>
    <t xml:space="preserve">RFP Number</t>
  </si>
  <si>
    <t xml:space="preserve">RFP-MPSD-2026-0053</t>
  </si>
  <si>
    <t xml:space="preserve">Issue Date</t>
  </si>
  <si>
    <t xml:space="preserve">February 9, 2026</t>
  </si>
  <si>
    <t xml:space="preserve">Proposal Submission Deadline</t>
  </si>
  <si>
    <t xml:space="preserve">March 20, 2026, 4:00 PM CT</t>
  </si>
  <si>
    <t xml:space="preserve">Issuing Organization</t>
  </si>
  <si>
    <t xml:space="preserve">Meridian Public School District (MPSD)</t>
  </si>
  <si>
    <t xml:space="preserve">Category</t>
  </si>
  <si>
    <t xml:space="preserve">K-12 IT Infrastructure — Network, Wi-Fi &amp; Cybersecurity</t>
  </si>
  <si>
    <t xml:space="preserve">Workbook Contents:</t>
  </si>
  <si>
    <t xml:space="preserve">1. Cover (this sheet)</t>
  </si>
  <si>
    <t xml:space="preserve">2. Requirements Matrix</t>
  </si>
  <si>
    <t xml:space="preserve">3. Pricing Form</t>
  </si>
  <si>
    <t xml:space="preserve">4. Reference Form</t>
  </si>
  <si>
    <t xml:space="preserve">5. Project Timeline</t>
  </si>
  <si>
    <t xml:space="preserve">ID</t>
  </si>
  <si>
    <t xml:space="preserve">Requirement</t>
  </si>
  <si>
    <t xml:space="preserve">Priority</t>
  </si>
  <si>
    <t xml:space="preserve">Vendor Response (F/P/C/N)</t>
  </si>
  <si>
    <t xml:space="preserve">Vendor Notes</t>
  </si>
  <si>
    <t xml:space="preserve">R-01</t>
  </si>
  <si>
    <t xml:space="preserve">Wireless</t>
  </si>
  <si>
    <t xml:space="preserve">Deploy Wi-Fi 6 access points in all classrooms and common areas district-wide.</t>
  </si>
  <si>
    <t xml:space="preserve">Mandatory</t>
  </si>
  <si>
    <t xml:space="preserve">R-02</t>
  </si>
  <si>
    <t xml:space="preserve">Wireless controller with centralized management console for all 14 schools.</t>
  </si>
  <si>
    <t xml:space="preserve">R-03</t>
  </si>
  <si>
    <t xml:space="preserve">Switching</t>
  </si>
  <si>
    <t xml:space="preserve">Replace core and access-layer switches with PoE+ capable models.</t>
  </si>
  <si>
    <t xml:space="preserve">R-04</t>
  </si>
  <si>
    <t xml:space="preserve">Minimum 10 Gbps uplinks between access switches and core switches.</t>
  </si>
  <si>
    <t xml:space="preserve">R-05</t>
  </si>
  <si>
    <t xml:space="preserve">Security</t>
  </si>
  <si>
    <t xml:space="preserve">Deploy next-generation firewall / UTM appliances at each school site.</t>
  </si>
  <si>
    <t xml:space="preserve">R-06</t>
  </si>
  <si>
    <t xml:space="preserve">Web content filtering compliant with the Children's Internet Protection Act (CIPA).</t>
  </si>
  <si>
    <t xml:space="preserve">R-07</t>
  </si>
  <si>
    <t xml:space="preserve">Monitoring</t>
  </si>
  <si>
    <t xml:space="preserve">On-premise network monitoring dashboard with alerting for outages.</t>
  </si>
  <si>
    <t xml:space="preserve">R-08</t>
  </si>
  <si>
    <t xml:space="preserve">Automated bandwidth utilization reporting by school site.</t>
  </si>
  <si>
    <t xml:space="preserve">Desired</t>
  </si>
  <si>
    <t xml:space="preserve">R-09</t>
  </si>
  <si>
    <t xml:space="preserve">Compliance</t>
  </si>
  <si>
    <t xml:space="preserve">Vendor must assist with E-Rate Form 470 and Form 471 filing documentation.</t>
  </si>
  <si>
    <t xml:space="preserve">R-10</t>
  </si>
  <si>
    <t xml:space="preserve">Equipment must be eligible for E-Rate Category 2 funding.</t>
  </si>
  <si>
    <t xml:space="preserve">R-11</t>
  </si>
  <si>
    <t xml:space="preserve">Warranty</t>
  </si>
  <si>
    <t xml:space="preserve">Minimum 3-year hardware warranty on all switches and access points.</t>
  </si>
  <si>
    <t xml:space="preserve">R-12</t>
  </si>
  <si>
    <t xml:space="preserve">Next-business-day advance hardware replacement for failed equipment.</t>
  </si>
  <si>
    <t xml:space="preserve">R-13</t>
  </si>
  <si>
    <t xml:space="preserve">Installation</t>
  </si>
  <si>
    <t xml:space="preserve">Installation scheduled to avoid disruption during school instructional hours.</t>
  </si>
  <si>
    <t xml:space="preserve">R-14</t>
  </si>
  <si>
    <t xml:space="preserve">Training</t>
  </si>
  <si>
    <t xml:space="preserve">Administrator training for District IT staff (approximately 8 staff).</t>
  </si>
  <si>
    <t xml:space="preserve">R-15</t>
  </si>
  <si>
    <t xml:space="preserve">Support</t>
  </si>
  <si>
    <t xml:space="preserve">24/7 technical support hotline for critical outages.</t>
  </si>
  <si>
    <t xml:space="preserve">Total Requirements Listed:</t>
  </si>
  <si>
    <t xml:space="preserve">Mandatory Requirements:</t>
  </si>
  <si>
    <t xml:space="preserve">Line Item</t>
  </si>
  <si>
    <t xml:space="preserve">Description</t>
  </si>
  <si>
    <t xml:space="preserve">Unit</t>
  </si>
  <si>
    <t xml:space="preserve">Est. Quantity</t>
  </si>
  <si>
    <t xml:space="preserve">Unit Price</t>
  </si>
  <si>
    <t xml:space="preserve">Extended Price</t>
  </si>
  <si>
    <t xml:space="preserve">P-01</t>
  </si>
  <si>
    <t xml:space="preserve">Wi-Fi 6 Access Points (hardware + licensing)</t>
  </si>
  <si>
    <t xml:space="preserve">Each</t>
  </si>
  <si>
    <t xml:space="preserve">P-02</t>
  </si>
  <si>
    <t xml:space="preserve">Wireless Controller &amp; Management Platform</t>
  </si>
  <si>
    <t xml:space="preserve">Lot</t>
  </si>
  <si>
    <t xml:space="preserve">P-03</t>
  </si>
  <si>
    <t xml:space="preserve">PoE+ Access Switches</t>
  </si>
  <si>
    <t xml:space="preserve">P-04</t>
  </si>
  <si>
    <t xml:space="preserve">Core Switches</t>
  </si>
  <si>
    <t xml:space="preserve">P-05</t>
  </si>
  <si>
    <t xml:space="preserve">Next-Gen Firewall / UTM Appliances</t>
  </si>
  <si>
    <t xml:space="preserve">P-06</t>
  </si>
  <si>
    <t xml:space="preserve">Installation &amp; Configuration Labor</t>
  </si>
  <si>
    <t xml:space="preserve">P-07</t>
  </si>
  <si>
    <t xml:space="preserve">Administrator Training (8 staff)</t>
  </si>
  <si>
    <t xml:space="preserve">P-08</t>
  </si>
  <si>
    <t xml:space="preserve">Annual Support &amp; Maintenance Contract (Year 1)</t>
  </si>
  <si>
    <t xml:space="preserve">Total Proposed Price:</t>
  </si>
  <si>
    <t xml:space="preserve">Provide at least 3 references for K-12 district network infrastructure projects completed within the past 5 years.</t>
  </si>
  <si>
    <t xml:space="preserve">Field</t>
  </si>
  <si>
    <t xml:space="preserve">Reference 1</t>
  </si>
  <si>
    <t xml:space="preserve">Reference 2</t>
  </si>
  <si>
    <t xml:space="preserve">Reference 3</t>
  </si>
  <si>
    <t xml:space="preserve">Client District Name</t>
  </si>
  <si>
    <t xml:space="preserve">Contact Name &amp; Title</t>
  </si>
  <si>
    <t xml:space="preserve">Phone / Email</t>
  </si>
  <si>
    <t xml:space="preserve">Number of Schools / Students Served</t>
  </si>
  <si>
    <t xml:space="preserve">Scope Summary</t>
  </si>
  <si>
    <t xml:space="preserve">Contract Value</t>
  </si>
  <si>
    <t xml:space="preserve">Completion Date</t>
  </si>
  <si>
    <t xml:space="preserve">Milestone</t>
  </si>
  <si>
    <t xml:space="preserve">Date</t>
  </si>
  <si>
    <t xml:space="preserve">RFP Issue Date</t>
  </si>
  <si>
    <t xml:space="preserve">Vendor Q&amp;A Deadline</t>
  </si>
  <si>
    <t xml:space="preserve">February 23, 2026</t>
  </si>
  <si>
    <t xml:space="preserve">March 20, 2026</t>
  </si>
  <si>
    <t xml:space="preserve">Shortlist Notification</t>
  </si>
  <si>
    <t xml:space="preserve">April 3, 2026</t>
  </si>
  <si>
    <t xml:space="preserve">Vendor Presentations</t>
  </si>
  <si>
    <t xml:space="preserve">April 13 – 17, 2026</t>
  </si>
  <si>
    <t xml:space="preserve">Contract Award (School Board Approval)</t>
  </si>
  <si>
    <t xml:space="preserve">May 4, 2026</t>
  </si>
  <si>
    <t xml:space="preserve">Installation Begins (Summer Break)</t>
  </si>
  <si>
    <t xml:space="preserve">June 8, 2026</t>
  </si>
  <si>
    <t xml:space="preserve">Installation Complete — All 14 Schools</t>
  </si>
  <si>
    <t xml:space="preserve">August 10, 2026</t>
  </si>
  <si>
    <t xml:space="preserve">Fall Semester Go-Live</t>
  </si>
  <si>
    <t xml:space="preserve">August 24,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</si>
</sst>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b val="true"/>
      <sz val="14"/>
      <color rgb="FF2E74B5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7.3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</row>
    <row r="9" customFormat="false" ht="15" hidden="false" customHeight="false" outlineLevel="0" collapsed="false">
      <c r="A9" s="6" t="s">
        <v>5</v>
      </c>
      <c r="B9" s="7" t="s">
        <v>6</v>
      </c>
    </row>
    <row r="10" customFormat="false" ht="15" hidden="false" customHeight="false" outlineLevel="0" collapsed="false">
      <c r="A10" s="6" t="s">
        <v>7</v>
      </c>
      <c r="B10" s="7" t="s">
        <v>8</v>
      </c>
    </row>
    <row r="11" customFormat="false" ht="15" hidden="false" customHeight="false" outlineLevel="0" collapsed="false">
      <c r="A11" s="6" t="s">
        <v>9</v>
      </c>
      <c r="B11" s="7" t="s">
        <v>10</v>
      </c>
    </row>
    <row r="12" customFormat="false" ht="15" hidden="false" customHeight="false" outlineLevel="0" collapsed="false">
      <c r="A12" s="6" t="s">
        <v>11</v>
      </c>
      <c r="B12" s="7" t="s">
        <v>12</v>
      </c>
    </row>
    <row r="13" customFormat="false" ht="15" hidden="false" customHeight="false" outlineLevel="0" collapsed="false">
      <c r="A13" s="6" t="s">
        <v>13</v>
      </c>
      <c r="B13" s="7" t="s">
        <v>14</v>
      </c>
    </row>
    <row r="15" customFormat="false" ht="15" hidden="false" customHeight="false" outlineLevel="0" collapsed="false">
      <c r="A15" s="8" t="s">
        <v>15</v>
      </c>
    </row>
    <row r="16" customFormat="false" ht="15" hidden="false" customHeight="false" outlineLevel="0" collapsed="false">
      <c r="A16" s="9" t="s">
        <v>16</v>
      </c>
    </row>
    <row r="17" customFormat="false" ht="15" hidden="false" customHeight="false" outlineLevel="0" collapsed="false">
      <c r="A17" s="9" t="s">
        <v>17</v>
      </c>
    </row>
    <row r="18" customFormat="false" ht="15" hidden="false" customHeight="false" outlineLevel="0" collapsed="false">
      <c r="A18" s="9" t="s">
        <v>18</v>
      </c>
    </row>
    <row r="19" customFormat="false" ht="15" hidden="false" customHeight="false" outlineLevel="0" collapsed="false">
      <c r="A19" s="9" t="s">
        <v>19</v>
      </c>
    </row>
    <row r="20" customFormat="false" ht="15" hidden="false" customHeight="false" outlineLevel="0" collapsed="false">
      <c r="A20" s="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24"/>
  </cols>
  <sheetData>
    <row r="1" customFormat="false" ht="21.75" hidden="false" customHeight="true" outlineLevel="0" collapsed="false">
      <c r="A1" s="10" t="s">
        <v>21</v>
      </c>
      <c r="B1" s="10" t="s">
        <v>13</v>
      </c>
      <c r="C1" s="10" t="s">
        <v>22</v>
      </c>
      <c r="D1" s="10" t="s">
        <v>23</v>
      </c>
      <c r="E1" s="10" t="s">
        <v>24</v>
      </c>
      <c r="F1" s="10" t="s">
        <v>25</v>
      </c>
    </row>
    <row r="2" customFormat="false" ht="23.85" hidden="false" customHeight="false" outlineLevel="0" collapsed="false">
      <c r="A2" s="7" t="s">
        <v>26</v>
      </c>
      <c r="B2" s="7" t="s">
        <v>27</v>
      </c>
      <c r="C2" s="7" t="s">
        <v>28</v>
      </c>
      <c r="D2" s="7" t="s">
        <v>29</v>
      </c>
      <c r="E2" s="7"/>
      <c r="F2" s="7"/>
    </row>
    <row r="3" customFormat="false" ht="23.85" hidden="false" customHeight="false" outlineLevel="0" collapsed="false">
      <c r="A3" s="7" t="s">
        <v>30</v>
      </c>
      <c r="B3" s="7" t="s">
        <v>27</v>
      </c>
      <c r="C3" s="7" t="s">
        <v>31</v>
      </c>
      <c r="D3" s="7" t="s">
        <v>29</v>
      </c>
      <c r="E3" s="7"/>
      <c r="F3" s="7"/>
    </row>
    <row r="4" customFormat="false" ht="23.85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29</v>
      </c>
      <c r="E4" s="7"/>
      <c r="F4" s="7"/>
    </row>
    <row r="5" customFormat="false" ht="23.85" hidden="false" customHeight="false" outlineLevel="0" collapsed="false">
      <c r="A5" s="7" t="s">
        <v>35</v>
      </c>
      <c r="B5" s="7" t="s">
        <v>33</v>
      </c>
      <c r="C5" s="7" t="s">
        <v>36</v>
      </c>
      <c r="D5" s="7" t="s">
        <v>29</v>
      </c>
      <c r="E5" s="7"/>
      <c r="F5" s="7"/>
    </row>
    <row r="6" customFormat="false" ht="23.85" hidden="false" customHeight="false" outlineLevel="0" collapsed="false">
      <c r="A6" s="7" t="s">
        <v>37</v>
      </c>
      <c r="B6" s="7" t="s">
        <v>38</v>
      </c>
      <c r="C6" s="7" t="s">
        <v>39</v>
      </c>
      <c r="D6" s="7" t="s">
        <v>29</v>
      </c>
      <c r="E6" s="7"/>
      <c r="F6" s="7"/>
    </row>
    <row r="7" customFormat="false" ht="23.85" hidden="false" customHeight="false" outlineLevel="0" collapsed="false">
      <c r="A7" s="7" t="s">
        <v>40</v>
      </c>
      <c r="B7" s="7" t="s">
        <v>38</v>
      </c>
      <c r="C7" s="7" t="s">
        <v>41</v>
      </c>
      <c r="D7" s="7" t="s">
        <v>29</v>
      </c>
      <c r="E7" s="7"/>
      <c r="F7" s="7"/>
    </row>
    <row r="8" customFormat="false" ht="15" hidden="false" customHeight="false" outlineLevel="0" collapsed="false">
      <c r="A8" s="7" t="s">
        <v>42</v>
      </c>
      <c r="B8" s="7" t="s">
        <v>43</v>
      </c>
      <c r="C8" s="7" t="s">
        <v>44</v>
      </c>
      <c r="D8" s="7" t="s">
        <v>29</v>
      </c>
      <c r="E8" s="7"/>
      <c r="F8" s="7"/>
    </row>
    <row r="9" customFormat="false" ht="15" hidden="false" customHeight="false" outlineLevel="0" collapsed="false">
      <c r="A9" s="7" t="s">
        <v>45</v>
      </c>
      <c r="B9" s="7" t="s">
        <v>43</v>
      </c>
      <c r="C9" s="7" t="s">
        <v>46</v>
      </c>
      <c r="D9" s="7" t="s">
        <v>47</v>
      </c>
      <c r="E9" s="7"/>
      <c r="F9" s="7"/>
    </row>
    <row r="10" customFormat="false" ht="23.85" hidden="false" customHeight="false" outlineLevel="0" collapsed="false">
      <c r="A10" s="7" t="s">
        <v>48</v>
      </c>
      <c r="B10" s="7" t="s">
        <v>49</v>
      </c>
      <c r="C10" s="7" t="s">
        <v>50</v>
      </c>
      <c r="D10" s="7" t="s">
        <v>29</v>
      </c>
      <c r="E10" s="7"/>
      <c r="F10" s="7"/>
    </row>
    <row r="11" customFormat="false" ht="15" hidden="false" customHeight="false" outlineLevel="0" collapsed="false">
      <c r="A11" s="7" t="s">
        <v>51</v>
      </c>
      <c r="B11" s="7" t="s">
        <v>49</v>
      </c>
      <c r="C11" s="7" t="s">
        <v>52</v>
      </c>
      <c r="D11" s="7" t="s">
        <v>29</v>
      </c>
      <c r="E11" s="7"/>
      <c r="F11" s="7"/>
    </row>
    <row r="12" customFormat="false" ht="23.85" hidden="false" customHeight="false" outlineLevel="0" collapsed="false">
      <c r="A12" s="7" t="s">
        <v>53</v>
      </c>
      <c r="B12" s="7" t="s">
        <v>54</v>
      </c>
      <c r="C12" s="7" t="s">
        <v>55</v>
      </c>
      <c r="D12" s="7" t="s">
        <v>29</v>
      </c>
      <c r="E12" s="7"/>
      <c r="F12" s="7"/>
    </row>
    <row r="13" customFormat="false" ht="23.85" hidden="false" customHeight="false" outlineLevel="0" collapsed="false">
      <c r="A13" s="7" t="s">
        <v>56</v>
      </c>
      <c r="B13" s="7" t="s">
        <v>54</v>
      </c>
      <c r="C13" s="7" t="s">
        <v>57</v>
      </c>
      <c r="D13" s="7" t="s">
        <v>47</v>
      </c>
      <c r="E13" s="7"/>
      <c r="F13" s="7"/>
    </row>
    <row r="14" customFormat="false" ht="23.85" hidden="false" customHeight="false" outlineLevel="0" collapsed="false">
      <c r="A14" s="7" t="s">
        <v>58</v>
      </c>
      <c r="B14" s="7" t="s">
        <v>59</v>
      </c>
      <c r="C14" s="7" t="s">
        <v>60</v>
      </c>
      <c r="D14" s="7" t="s">
        <v>29</v>
      </c>
      <c r="E14" s="7"/>
      <c r="F14" s="7"/>
    </row>
    <row r="15" customFormat="false" ht="15" hidden="false" customHeight="false" outlineLevel="0" collapsed="false">
      <c r="A15" s="7" t="s">
        <v>61</v>
      </c>
      <c r="B15" s="7" t="s">
        <v>62</v>
      </c>
      <c r="C15" s="7" t="s">
        <v>63</v>
      </c>
      <c r="D15" s="7" t="s">
        <v>29</v>
      </c>
      <c r="E15" s="7"/>
      <c r="F15" s="7"/>
    </row>
    <row r="16" customFormat="false" ht="15" hidden="false" customHeight="false" outlineLevel="0" collapsed="false">
      <c r="A16" s="7" t="s">
        <v>64</v>
      </c>
      <c r="B16" s="7" t="s">
        <v>65</v>
      </c>
      <c r="C16" s="7" t="s">
        <v>66</v>
      </c>
      <c r="D16" s="7" t="s">
        <v>47</v>
      </c>
      <c r="E16" s="7"/>
      <c r="F16" s="7"/>
    </row>
    <row r="18" customFormat="false" ht="15" hidden="false" customHeight="false" outlineLevel="0" collapsed="false">
      <c r="A18" s="11" t="s">
        <v>67</v>
      </c>
      <c r="B18" s="11" t="n">
        <f aca="false">COUNTA(A2:A16)</f>
        <v>15</v>
      </c>
    </row>
    <row r="19" customFormat="false" ht="15" hidden="false" customHeight="false" outlineLevel="0" collapsed="false">
      <c r="A19" s="11" t="s">
        <v>68</v>
      </c>
      <c r="B19" s="11" t="n">
        <f aca="false">COUNTIF(D2:D16,"Mandatory")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0" t="s">
        <v>69</v>
      </c>
      <c r="B1" s="10" t="s">
        <v>70</v>
      </c>
      <c r="C1" s="10" t="s">
        <v>71</v>
      </c>
      <c r="D1" s="10" t="s">
        <v>72</v>
      </c>
      <c r="E1" s="10" t="s">
        <v>73</v>
      </c>
      <c r="F1" s="10" t="s">
        <v>74</v>
      </c>
    </row>
    <row r="2" customFormat="false" ht="15" hidden="false" customHeight="false" outlineLevel="0" collapsed="false">
      <c r="A2" s="7" t="s">
        <v>75</v>
      </c>
      <c r="B2" s="7" t="s">
        <v>76</v>
      </c>
      <c r="C2" s="7" t="s">
        <v>77</v>
      </c>
      <c r="D2" s="7" t="n">
        <v>420</v>
      </c>
      <c r="E2" s="12" t="n">
        <v>0</v>
      </c>
      <c r="F2" s="12" t="n">
        <f aca="false">D2*E2</f>
        <v>0</v>
      </c>
    </row>
    <row r="3" customFormat="false" ht="15" hidden="false" customHeight="false" outlineLevel="0" collapsed="false">
      <c r="A3" s="7" t="s">
        <v>78</v>
      </c>
      <c r="B3" s="7" t="s">
        <v>79</v>
      </c>
      <c r="C3" s="7" t="s">
        <v>80</v>
      </c>
      <c r="D3" s="7" t="n">
        <v>1</v>
      </c>
      <c r="E3" s="12" t="n">
        <v>0</v>
      </c>
      <c r="F3" s="12" t="n">
        <f aca="false">D3*E3</f>
        <v>0</v>
      </c>
    </row>
    <row r="4" customFormat="false" ht="15" hidden="false" customHeight="false" outlineLevel="0" collapsed="false">
      <c r="A4" s="7" t="s">
        <v>81</v>
      </c>
      <c r="B4" s="7" t="s">
        <v>82</v>
      </c>
      <c r="C4" s="7" t="s">
        <v>77</v>
      </c>
      <c r="D4" s="7" t="n">
        <v>95</v>
      </c>
      <c r="E4" s="12" t="n">
        <v>0</v>
      </c>
      <c r="F4" s="12" t="n">
        <f aca="false">D4*E4</f>
        <v>0</v>
      </c>
    </row>
    <row r="5" customFormat="false" ht="15" hidden="false" customHeight="false" outlineLevel="0" collapsed="false">
      <c r="A5" s="7" t="s">
        <v>83</v>
      </c>
      <c r="B5" s="7" t="s">
        <v>84</v>
      </c>
      <c r="C5" s="7" t="s">
        <v>77</v>
      </c>
      <c r="D5" s="7" t="n">
        <v>14</v>
      </c>
      <c r="E5" s="12" t="n">
        <v>0</v>
      </c>
      <c r="F5" s="12" t="n">
        <f aca="false">D5*E5</f>
        <v>0</v>
      </c>
    </row>
    <row r="6" customFormat="false" ht="15" hidden="false" customHeight="false" outlineLevel="0" collapsed="false">
      <c r="A6" s="7" t="s">
        <v>85</v>
      </c>
      <c r="B6" s="7" t="s">
        <v>86</v>
      </c>
      <c r="C6" s="7" t="s">
        <v>77</v>
      </c>
      <c r="D6" s="7" t="n">
        <v>14</v>
      </c>
      <c r="E6" s="12" t="n">
        <v>0</v>
      </c>
      <c r="F6" s="12" t="n">
        <f aca="false">D6*E6</f>
        <v>0</v>
      </c>
    </row>
    <row r="7" customFormat="false" ht="15" hidden="false" customHeight="false" outlineLevel="0" collapsed="false">
      <c r="A7" s="7" t="s">
        <v>87</v>
      </c>
      <c r="B7" s="7" t="s">
        <v>88</v>
      </c>
      <c r="C7" s="7" t="s">
        <v>80</v>
      </c>
      <c r="D7" s="7" t="n">
        <v>1</v>
      </c>
      <c r="E7" s="12" t="n">
        <v>0</v>
      </c>
      <c r="F7" s="12" t="n">
        <f aca="false">D7*E7</f>
        <v>0</v>
      </c>
    </row>
    <row r="8" customFormat="false" ht="15" hidden="false" customHeight="false" outlineLevel="0" collapsed="false">
      <c r="A8" s="7" t="s">
        <v>89</v>
      </c>
      <c r="B8" s="7" t="s">
        <v>90</v>
      </c>
      <c r="C8" s="7" t="s">
        <v>80</v>
      </c>
      <c r="D8" s="7" t="n">
        <v>1</v>
      </c>
      <c r="E8" s="12" t="n">
        <v>0</v>
      </c>
      <c r="F8" s="12" t="n">
        <f aca="false">D8*E8</f>
        <v>0</v>
      </c>
    </row>
    <row r="9" customFormat="false" ht="15" hidden="false" customHeight="false" outlineLevel="0" collapsed="false">
      <c r="A9" s="7" t="s">
        <v>91</v>
      </c>
      <c r="B9" s="7" t="s">
        <v>92</v>
      </c>
      <c r="C9" s="7" t="s">
        <v>80</v>
      </c>
      <c r="D9" s="7" t="n">
        <v>1</v>
      </c>
      <c r="E9" s="12" t="n">
        <v>0</v>
      </c>
      <c r="F9" s="12" t="n">
        <f aca="false">D9*E9</f>
        <v>0</v>
      </c>
    </row>
    <row r="10" customFormat="false" ht="15" hidden="false" customHeight="false" outlineLevel="0" collapsed="false">
      <c r="E10" s="13" t="s">
        <v>93</v>
      </c>
      <c r="F10" s="14" t="n">
        <f aca="false">SUM(F2:F9)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4"/>
  </cols>
  <sheetData>
    <row r="1" customFormat="false" ht="15" hidden="false" customHeight="false" outlineLevel="0" collapsed="false">
      <c r="A1" s="2" t="s">
        <v>94</v>
      </c>
    </row>
    <row r="3" customFormat="false" ht="21.75" hidden="false" customHeight="true" outlineLevel="0" collapsed="false">
      <c r="A3" s="10" t="s">
        <v>95</v>
      </c>
      <c r="B3" s="10" t="s">
        <v>96</v>
      </c>
      <c r="C3" s="10" t="s">
        <v>97</v>
      </c>
      <c r="D3" s="10" t="s">
        <v>98</v>
      </c>
    </row>
    <row r="4" customFormat="false" ht="15" hidden="false" customHeight="false" outlineLevel="0" collapsed="false">
      <c r="A4" s="15" t="s">
        <v>99</v>
      </c>
      <c r="B4" s="7"/>
      <c r="C4" s="7"/>
      <c r="D4" s="7"/>
    </row>
    <row r="5" customFormat="false" ht="15" hidden="false" customHeight="false" outlineLevel="0" collapsed="false">
      <c r="A5" s="15" t="s">
        <v>100</v>
      </c>
      <c r="B5" s="7"/>
      <c r="C5" s="7"/>
      <c r="D5" s="7"/>
    </row>
    <row r="6" customFormat="false" ht="15" hidden="false" customHeight="false" outlineLevel="0" collapsed="false">
      <c r="A6" s="15" t="s">
        <v>101</v>
      </c>
      <c r="B6" s="7"/>
      <c r="C6" s="7"/>
      <c r="D6" s="7"/>
    </row>
    <row r="7" customFormat="false" ht="23.85" hidden="false" customHeight="false" outlineLevel="0" collapsed="false">
      <c r="A7" s="15" t="s">
        <v>102</v>
      </c>
      <c r="B7" s="7"/>
      <c r="C7" s="7"/>
      <c r="D7" s="7"/>
    </row>
    <row r="8" customFormat="false" ht="15" hidden="false" customHeight="false" outlineLevel="0" collapsed="false">
      <c r="A8" s="15" t="s">
        <v>103</v>
      </c>
      <c r="B8" s="7"/>
      <c r="C8" s="7"/>
      <c r="D8" s="7"/>
    </row>
    <row r="9" customFormat="false" ht="15" hidden="false" customHeight="false" outlineLevel="0" collapsed="false">
      <c r="A9" s="15" t="s">
        <v>104</v>
      </c>
      <c r="B9" s="7"/>
      <c r="C9" s="7"/>
      <c r="D9" s="7"/>
    </row>
    <row r="10" customFormat="false" ht="15" hidden="false" customHeight="false" outlineLevel="0" collapsed="false">
      <c r="A10" s="15" t="s">
        <v>105</v>
      </c>
      <c r="B10" s="7"/>
      <c r="C10" s="7"/>
      <c r="D1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</cols>
  <sheetData>
    <row r="1" customFormat="false" ht="21.75" hidden="false" customHeight="true" outlineLevel="0" collapsed="false">
      <c r="A1" s="10" t="s">
        <v>106</v>
      </c>
      <c r="B1" s="10" t="s">
        <v>107</v>
      </c>
    </row>
    <row r="2" customFormat="false" ht="15" hidden="false" customHeight="false" outlineLevel="0" collapsed="false">
      <c r="A2" s="7" t="s">
        <v>108</v>
      </c>
      <c r="B2" s="7" t="s">
        <v>8</v>
      </c>
    </row>
    <row r="3" customFormat="false" ht="15" hidden="false" customHeight="false" outlineLevel="0" collapsed="false">
      <c r="A3" s="7" t="s">
        <v>109</v>
      </c>
      <c r="B3" s="7" t="s">
        <v>110</v>
      </c>
    </row>
    <row r="4" customFormat="false" ht="15" hidden="false" customHeight="false" outlineLevel="0" collapsed="false">
      <c r="A4" s="7" t="s">
        <v>9</v>
      </c>
      <c r="B4" s="7" t="s">
        <v>111</v>
      </c>
    </row>
    <row r="5" customFormat="false" ht="15" hidden="false" customHeight="false" outlineLevel="0" collapsed="false">
      <c r="A5" s="7" t="s">
        <v>112</v>
      </c>
      <c r="B5" s="7" t="s">
        <v>113</v>
      </c>
    </row>
    <row r="6" customFormat="false" ht="15" hidden="false" customHeight="false" outlineLevel="0" collapsed="false">
      <c r="A6" s="7" t="s">
        <v>114</v>
      </c>
      <c r="B6" s="7" t="s">
        <v>115</v>
      </c>
    </row>
    <row r="7" customFormat="false" ht="15" hidden="false" customHeight="false" outlineLevel="0" collapsed="false">
      <c r="A7" s="7" t="s">
        <v>116</v>
      </c>
      <c r="B7" s="7" t="s">
        <v>117</v>
      </c>
    </row>
    <row r="8" customFormat="false" ht="15" hidden="false" customHeight="false" outlineLevel="0" collapsed="false">
      <c r="A8" s="7" t="s">
        <v>118</v>
      </c>
      <c r="B8" s="7" t="s">
        <v>119</v>
      </c>
    </row>
    <row r="9" customFormat="false" ht="15" hidden="false" customHeight="false" outlineLevel="0" collapsed="false">
      <c r="A9" s="7" t="s">
        <v>120</v>
      </c>
      <c r="B9" s="7" t="s">
        <v>121</v>
      </c>
    </row>
    <row r="10" customFormat="false" ht="15" hidden="false" customHeight="false" outlineLevel="0" collapsed="false">
      <c r="A10" s="7" t="s">
        <v>122</v>
      </c>
      <c r="B10" s="7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2026-09-02T07:18:16Z</dcterms:created>
  <dc:creator>openpyxl</dc:creator>
  <dc:description/>
  <dc:language>en-US</dc:language>
  <cp:lastModifiedBy/>
  <dcterms:modified xsi:type="dcterms:W3CDTF">2026-09-02T07:18:16Z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